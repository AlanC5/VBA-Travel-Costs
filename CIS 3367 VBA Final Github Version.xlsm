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an\Desktop\"/>
    </mc:Choice>
  </mc:AlternateContent>
  <bookViews>
    <workbookView xWindow="0" yWindow="0" windowWidth="19200" windowHeight="8010" firstSheet="2" activeTab="3"/>
  </bookViews>
  <sheets>
    <sheet name="Main" sheetId="2" r:id="rId1"/>
    <sheet name="Raw Data" sheetId="5" r:id="rId2"/>
    <sheet name="Formatted Data" sheetId="1" r:id="rId3"/>
    <sheet name="API-KEY" sheetId="3" r:id="rId4"/>
    <sheet name="DOCUMENTATION" sheetId="4" r:id="rId5"/>
    <sheet name="VBA CODE" sheetId="6" r:id="rId6"/>
  </sheets>
  <functionGroups builtInGroupCount="18"/>
  <definedNames>
    <definedName name="Accommodation">Main!$B$13</definedName>
    <definedName name="api_key">'API-KEY'!$B$1</definedName>
    <definedName name="City">Main!$B$2</definedName>
    <definedName name="Entertainment">Main!$B$15</definedName>
    <definedName name="Food">Main!#REF!</definedName>
    <definedName name="Local_Transportation">Main!#REF!</definedName>
    <definedName name="Round_Trip_Flight">Main!$B$17</definedName>
    <definedName name="solver_adj" localSheetId="0" hidden="1">Main!$B$4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Main!$B$4</definedName>
    <definedName name="solver_lhs2" localSheetId="0" hidden="1">Main!$B$4</definedName>
    <definedName name="solver_lhs3" localSheetId="0" hidden="1">Main!$D$11</definedName>
    <definedName name="solver_lhs4" localSheetId="0" hidden="1">Main!$D$12</definedName>
    <definedName name="solver_lhs5" localSheetId="0" hidden="1">Main!$D$13</definedName>
    <definedName name="solver_lhs6" localSheetId="0" hidden="1">Main!$D$14</definedName>
    <definedName name="solver_lhs7" localSheetId="0" hidden="1">Main!$D$16</definedName>
    <definedName name="solver_lhs8" localSheetId="0" hidden="1">Main!$D$16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Main!$D$16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hs1" localSheetId="0" hidden="1">integer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Main!$B$5</definedName>
    <definedName name="solver_rhs8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ourvenirs">Main!$B$16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2" l="1"/>
  <c r="C12" i="2"/>
  <c r="C13" i="2"/>
  <c r="C11" i="2"/>
  <c r="C4" i="1"/>
  <c r="B11" i="2" s="1"/>
  <c r="D4" i="1"/>
  <c r="E4" i="1"/>
  <c r="C5" i="1"/>
  <c r="B12" i="2" s="1"/>
  <c r="D5" i="1"/>
  <c r="E5" i="1"/>
  <c r="C6" i="1"/>
  <c r="B13" i="2" s="1"/>
  <c r="D6" i="1"/>
  <c r="E6" i="1"/>
  <c r="C7" i="1"/>
  <c r="D7" i="1"/>
  <c r="E7" i="1"/>
  <c r="C8" i="1"/>
  <c r="B14" i="2" s="1"/>
  <c r="D14" i="2" s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B1" i="1"/>
  <c r="D13" i="2" l="1"/>
  <c r="D11" i="2"/>
  <c r="D12" i="2"/>
  <c r="D16" i="2" l="1"/>
  <c r="B6" i="2" s="1"/>
</calcChain>
</file>

<file path=xl/sharedStrings.xml><?xml version="1.0" encoding="utf-8"?>
<sst xmlns="http://schemas.openxmlformats.org/spreadsheetml/2006/main" count="169" uniqueCount="152">
  <si>
    <t>Accommodation</t>
  </si>
  <si>
    <t>Food</t>
  </si>
  <si>
    <t>Entertainment</t>
  </si>
  <si>
    <t>Travel Costs</t>
  </si>
  <si>
    <t>City:</t>
  </si>
  <si>
    <t>Per Day Basis</t>
  </si>
  <si>
    <t>Local Transportation</t>
  </si>
  <si>
    <t>API KEY:</t>
  </si>
  <si>
    <t>Personal API KEY: Please do not share with others.</t>
  </si>
  <si>
    <t>Search for City</t>
  </si>
  <si>
    <t>Endpoints</t>
  </si>
  <si>
    <t>Find costs associated with city</t>
  </si>
  <si>
    <t>http://www.budgetyourtrip.com/api/v3/costs/location/{GEONAME ID}</t>
  </si>
  <si>
    <t>http://www.budgetyourtrip.com/api/v3/categories/{id}</t>
  </si>
  <si>
    <t>Id</t>
  </si>
  <si>
    <t>Category</t>
  </si>
  <si>
    <t>Description</t>
  </si>
  <si>
    <t>From camping to luxury hotels, costs are for one person and assume double occupancy.</t>
  </si>
  <si>
    <t>Travel within one city, including taxi rides, public transit, and personal driving.</t>
  </si>
  <si>
    <t>All meals and snacks over the course of one day.</t>
  </si>
  <si>
    <t>All activities, from tickets to a show to park entrance fees. Costs are for one item of entertainment.</t>
  </si>
  <si>
    <t>Souvenirs</t>
  </si>
  <si>
    <t>All purchases from gifts to personal keepsakes.</t>
  </si>
  <si>
    <t>Description of Categories (18, but not all are relevant)</t>
  </si>
  <si>
    <t>VBA-JSON</t>
  </si>
  <si>
    <t>Libraries Used</t>
  </si>
  <si>
    <t>https://github.com/VBA-tools/VBA-JSON</t>
  </si>
  <si>
    <t>http://www.budgetyourtrip.com/api/v3/search/locationdata/{NAME}</t>
  </si>
  <si>
    <t>City Name</t>
  </si>
  <si>
    <t>Json Parser</t>
  </si>
  <si>
    <t>http://json.parser.online.fr/</t>
  </si>
  <si>
    <t>Category_id</t>
  </si>
  <si>
    <t>Water</t>
  </si>
  <si>
    <t>Communication</t>
  </si>
  <si>
    <t>Living Expenses</t>
  </si>
  <si>
    <t>Scams, Robberies, and Mishaps</t>
  </si>
  <si>
    <t>Alcohol</t>
  </si>
  <si>
    <t>Tips and Handouts</t>
  </si>
  <si>
    <t xml:space="preserve">Budget </t>
  </si>
  <si>
    <t>MidRange</t>
  </si>
  <si>
    <t>Luxury</t>
  </si>
  <si>
    <t>Portland</t>
  </si>
  <si>
    <t>Days:</t>
  </si>
  <si>
    <t>Cost</t>
  </si>
  <si>
    <t>Expense Type:</t>
  </si>
  <si>
    <t>Total Costs</t>
  </si>
  <si>
    <t>How many days can you travel</t>
  </si>
  <si>
    <t>Quantity</t>
  </si>
  <si>
    <t>Leftover:</t>
  </si>
  <si>
    <t>Your Savings</t>
  </si>
  <si>
    <t>Line Number</t>
  </si>
  <si>
    <t xml:space="preserve">Code </t>
  </si>
  <si>
    <t>Documentation</t>
  </si>
  <si>
    <t>Sub getJSON()</t>
  </si>
  <si>
    <t xml:space="preserve">    Dim FindCityRequest As Object</t>
  </si>
  <si>
    <t xml:space="preserve">    Dim City As String</t>
  </si>
  <si>
    <t xml:space="preserve">    Dim CleanedCity As String</t>
  </si>
  <si>
    <t xml:space="preserve">    Dim CityURL As String</t>
  </si>
  <si>
    <t xml:space="preserve">    Dim APIKEY As String</t>
  </si>
  <si>
    <t xml:space="preserve">    City = ActiveWorkbook.Worksheets("Main").Cells(2, 2).Value</t>
  </si>
  <si>
    <t xml:space="preserve">    CleanedCity = Replace(City, " ", "-")</t>
  </si>
  <si>
    <t xml:space="preserve">    APIKEY = ActiveWorkbook.Worksheets("API-KEY").Cells(1, 2).Value</t>
  </si>
  <si>
    <t xml:space="preserve">    Set FindCityRequest = CreateObject("WinHttp.WinHttpRequest.5.1")</t>
  </si>
  <si>
    <t xml:space="preserve">    CityURL = "http://www.budgetyourtrip.com/api/v3/search/locationdata/" &amp; CleanedCity</t>
  </si>
  <si>
    <t xml:space="preserve">    FindCityRequest.Open "GET", _</t>
  </si>
  <si>
    <t xml:space="preserve">    CityURL</t>
  </si>
  <si>
    <t xml:space="preserve">    FindCityRequest.setRequestHeader "Content-Type", "application/json"</t>
  </si>
  <si>
    <t xml:space="preserve">    FindCityRequest.setRequestHeader "X-API-KEY", APIKEY</t>
  </si>
  <si>
    <t xml:space="preserve">    FindCityRequest.Send</t>
  </si>
  <si>
    <t xml:space="preserve">    Dim FindCityJson As Dictionary</t>
  </si>
  <si>
    <t xml:space="preserve">    Set FindCityJson = JsonConverter.ParseJson(FindCityRequest.ResponseText)</t>
  </si>
  <si>
    <t xml:space="preserve">    If FindCityJson("status") = True Then</t>
  </si>
  <si>
    <t xml:space="preserve">        If FindCityJson("data").Count &gt; 0 Then</t>
  </si>
  <si>
    <t xml:space="preserve">            Dim geonameid As String</t>
  </si>
  <si>
    <t xml:space="preserve">            geonameid = FindCityJson("data")(1)("geonameid")</t>
  </si>
  <si>
    <t xml:space="preserve">            Dim CityCostRequest As Object</t>
  </si>
  <si>
    <t xml:space="preserve">            Dim CostURL As String</t>
  </si>
  <si>
    <t xml:space="preserve">            Set CityCostRequest = CreateObject("WinHttp.WinHttpRequest.5.1")</t>
  </si>
  <si>
    <t xml:space="preserve">            CostURL = "http://www.budgetyourtrip.com/api/v3/costs/location/" &amp; geonameid</t>
  </si>
  <si>
    <t xml:space="preserve">            CityCostRequest.Open "GET", _</t>
  </si>
  <si>
    <t xml:space="preserve">            CostURL</t>
  </si>
  <si>
    <t xml:space="preserve">            CityCostRequest.setRequestHeader "Content-Type", "application/json"</t>
  </si>
  <si>
    <t xml:space="preserve">            CityCostRequest.Send</t>
  </si>
  <si>
    <t xml:space="preserve">            Dim CityCostJson As Dictionary</t>
  </si>
  <si>
    <t xml:space="preserve">            Set CityCostJson = JsonConverter.ParseJson(CityCostRequest.ResponseText)</t>
  </si>
  <si>
    <t xml:space="preserve">            Dim DataPoints As Variant</t>
  </si>
  <si>
    <t xml:space="preserve">            ReDim DataPoints(CityCostJson("data").Count, 4)</t>
  </si>
  <si>
    <t xml:space="preserve">            Dim DataPoint As Dictionary</t>
  </si>
  <si>
    <t xml:space="preserve">            Dim i As Long</t>
  </si>
  <si>
    <t xml:space="preserve">            i = 0</t>
  </si>
  <si>
    <t xml:space="preserve">            For Each DataPoint In CityCostJson("data")</t>
  </si>
  <si>
    <t xml:space="preserve">                DataPoints(i, 0) = DataPoint("category_id")</t>
  </si>
  <si>
    <t xml:space="preserve">                DataPoints(i, 1) = DataPoint("value_budget")</t>
  </si>
  <si>
    <t xml:space="preserve">                DataPoints(i, 2) = DataPoint("value_midrange")</t>
  </si>
  <si>
    <t xml:space="preserve">                DataPoints(i, 3) = DataPoint("value_luxury")</t>
  </si>
  <si>
    <t xml:space="preserve">                i = i + 1</t>
  </si>
  <si>
    <t xml:space="preserve">            Next DataPoint</t>
  </si>
  <si>
    <t xml:space="preserve">            Sheets("Raw Data").Range(Cells(1, 1), Cells(CityCostJson("data").Count, 4)) = DataPoints</t>
  </si>
  <si>
    <t xml:space="preserve">        Else</t>
  </si>
  <si>
    <t xml:space="preserve">            MsgBox "No City found. Please enter a different city"</t>
  </si>
  <si>
    <t xml:space="preserve">        End If</t>
  </si>
  <si>
    <t xml:space="preserve">    Else</t>
  </si>
  <si>
    <t xml:space="preserve">        MsgBox FindCityJson("error")</t>
  </si>
  <si>
    <t xml:space="preserve">    End If</t>
  </si>
  <si>
    <t>End Sub</t>
  </si>
  <si>
    <t>Grabs City value form "Main" Worksheet</t>
  </si>
  <si>
    <t>For dashes for the spaces</t>
  </si>
  <si>
    <t>Grabs APIKEY value, KEEP HIDDEN!</t>
  </si>
  <si>
    <t>Define objects for Find City Request</t>
  </si>
  <si>
    <t>Define string to store city name</t>
  </si>
  <si>
    <t>Define string to store a cleaned version of city name</t>
  </si>
  <si>
    <t>Define string to store the URL searching for the city</t>
  </si>
  <si>
    <t>Define string to store the APIKEY</t>
  </si>
  <si>
    <t>Create object to make a HTTP Request</t>
  </si>
  <si>
    <t>Set URL to grab the geonameid based on city name</t>
  </si>
  <si>
    <t>Set GET Request</t>
  </si>
  <si>
    <t>Set Content-Type header to process return data type</t>
  </si>
  <si>
    <t>API-KEY KEEP THIS HIDDEN!</t>
  </si>
  <si>
    <t>Send Request to URL</t>
  </si>
  <si>
    <t>GET Request returns a Json object</t>
  </si>
  <si>
    <t xml:space="preserve">            CityCostRequest.setRequestHeader "X-API-KEY", APIKEY</t>
  </si>
  <si>
    <t>JsonConverter is used to ParseJson</t>
  </si>
  <si>
    <t>Error checking, status = True; everything is ok, status = false; there is an error</t>
  </si>
  <si>
    <t>&lt;API KEY HERE&gt;</t>
  </si>
  <si>
    <t>Check if city exists in the dataset</t>
  </si>
  <si>
    <t>Store geonameid, which is used for retrieving costs</t>
  </si>
  <si>
    <t xml:space="preserve"> Define object for City Cost Request</t>
  </si>
  <si>
    <t>Define dictionary for City Cost Json</t>
  </si>
  <si>
    <t>Define string for finding costs of each city As URL</t>
  </si>
  <si>
    <t>Create object to make a HTTP Request Object</t>
  </si>
  <si>
    <t>DataPoints holds the number of categories and all the fields inside each category</t>
  </si>
  <si>
    <t>Defines DataPoints size to contain returned Json data</t>
  </si>
  <si>
    <t>Defines DataPoint as dictionary to return each category cost</t>
  </si>
  <si>
    <t>Define long for looping through returned data</t>
  </si>
  <si>
    <t>Loop through the data and extract relevant information</t>
  </si>
  <si>
    <t>Extracts category_id from Json and places it into DataPoints</t>
  </si>
  <si>
    <t>Extracts budget from Json and places it into DataPoints</t>
  </si>
  <si>
    <t>Extracts midrange from Json and places it into DataPoints</t>
  </si>
  <si>
    <t>Extracts luxury from Json and places it into DataPoints</t>
  </si>
  <si>
    <t>Set "i" to zero to start counting</t>
  </si>
  <si>
    <t>Next DataPoint moves onto next category in the Json</t>
  </si>
  <si>
    <t>Add 1 to "i" so loop and move on to next category in the DataPoints</t>
  </si>
  <si>
    <t>Puts Raw Data into Excel</t>
  </si>
  <si>
    <t>Error Message from the API</t>
  </si>
  <si>
    <t>Function to retrieve Json data from API</t>
  </si>
  <si>
    <t>Define string to store unique location id for city</t>
  </si>
  <si>
    <t>End of function</t>
  </si>
  <si>
    <t>End if for if an error was recevied from API</t>
  </si>
  <si>
    <t>Else for if an error was recevied then excute the below</t>
  </si>
  <si>
    <t>End if for if no city was found</t>
  </si>
  <si>
    <t>Error message to prompt user to enter a different city</t>
  </si>
  <si>
    <t>Else for if no city was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</si>
</sst>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44" fontId="0" fillId="0" borderId="0" xfId="1" applyFont="1"/>
    <xf numFmtId="0" fontId="0" fillId="0" borderId="0" xfId="0" applyFont="1"/>
    <xf numFmtId="0" fontId="3" fillId="0" borderId="0" xfId="2"/>
    <xf numFmtId="0" fontId="3" fillId="0" borderId="0" xfId="2" applyAlignment="1">
      <alignment vertical="center"/>
    </xf>
    <xf numFmtId="44" fontId="2" fillId="0" borderId="0" xfId="1" applyFont="1"/>
    <xf numFmtId="0" fontId="0" fillId="0" borderId="0" xfId="1" applyNumberFormat="1" applyFont="1"/>
    <xf numFmtId="44" fontId="0" fillId="0" borderId="0" xfId="0" applyNumberFormat="1"/>
    <xf numFmtId="0" fontId="0" fillId="0" borderId="0" xfId="0" applyNumberFormat="1"/>
    <xf numFmtId="0" fontId="0" fillId="0" borderId="0" xfId="0" quotePrefix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1</xdr:row>
          <xdr:rowOff>9525</xdr:rowOff>
        </xdr:from>
        <xdr:to>
          <xdr:col>3</xdr:col>
          <xdr:colOff>133350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lan.chen3@baruchmail.cuny.edu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udgetyourtrip.com/api/v3/categories/%7bid%7d" TargetMode="External"/><Relationship Id="rId2" Type="http://schemas.openxmlformats.org/officeDocument/2006/relationships/hyperlink" Target="http://www.budgetyourtrip.com/api/v3/costs/location/%7bGEONAME%20ID%7d" TargetMode="External"/><Relationship Id="rId1" Type="http://schemas.openxmlformats.org/officeDocument/2006/relationships/hyperlink" Target="http://www.budgetyourtrip.com/api/v3/search/locationdata/%7bNAME%7d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6"/>
  <sheetViews>
    <sheetView workbookViewId="0">
      <selection activeCell="B1" sqref="B1"/>
    </sheetView>
  </sheetViews>
  <sheetFormatPr defaultRowHeight="15" x14ac:dyDescent="0.25"/>
  <cols>
    <col min="1" max="1" width="19.140625" bestFit="1" customWidth="1"/>
    <col min="2" max="4" width="20.7109375" customWidth="1"/>
  </cols>
  <sheetData>
    <row r="1" spans="1:4" x14ac:dyDescent="0.25">
      <c r="A1" s="1" t="s">
        <v>3</v>
      </c>
    </row>
    <row r="2" spans="1:4" x14ac:dyDescent="0.25">
      <c r="A2" s="1" t="s">
        <v>4</v>
      </c>
      <c r="B2" t="s">
        <v>41</v>
      </c>
    </row>
    <row r="3" spans="1:4" x14ac:dyDescent="0.25">
      <c r="A3" s="1" t="s">
        <v>44</v>
      </c>
      <c r="B3" t="s">
        <v>38</v>
      </c>
    </row>
    <row r="4" spans="1:4" x14ac:dyDescent="0.25">
      <c r="A4" s="1" t="s">
        <v>42</v>
      </c>
      <c r="B4" s="7">
        <v>17</v>
      </c>
      <c r="D4" t="s">
        <v>46</v>
      </c>
    </row>
    <row r="5" spans="1:4" x14ac:dyDescent="0.25">
      <c r="A5" s="1" t="s">
        <v>49</v>
      </c>
      <c r="B5" s="2">
        <v>1000</v>
      </c>
    </row>
    <row r="6" spans="1:4" x14ac:dyDescent="0.25">
      <c r="A6" s="1" t="s">
        <v>48</v>
      </c>
      <c r="B6" s="2">
        <f>B5-D16</f>
        <v>44.742068251100818</v>
      </c>
    </row>
    <row r="7" spans="1:4" x14ac:dyDescent="0.25">
      <c r="A7" s="1"/>
      <c r="B7" s="2"/>
    </row>
    <row r="8" spans="1:4" x14ac:dyDescent="0.25">
      <c r="A8" s="1"/>
    </row>
    <row r="9" spans="1:4" x14ac:dyDescent="0.25">
      <c r="A9" s="1"/>
      <c r="B9" s="1" t="s">
        <v>43</v>
      </c>
      <c r="C9" s="1" t="s">
        <v>47</v>
      </c>
      <c r="D9" s="1" t="s">
        <v>45</v>
      </c>
    </row>
    <row r="10" spans="1:4" x14ac:dyDescent="0.25">
      <c r="A10" s="1" t="s">
        <v>5</v>
      </c>
    </row>
    <row r="11" spans="1:4" x14ac:dyDescent="0.25">
      <c r="A11" s="3" t="s">
        <v>0</v>
      </c>
      <c r="B11" s="6">
        <f>IF(3:3&lt;&gt;"",HLOOKUP(B3,'Formatted Data'!A3:E14,2, FALSE),"")</f>
        <v>30.510869565217</v>
      </c>
      <c r="C11">
        <f>$B$4</f>
        <v>17</v>
      </c>
      <c r="D11" s="8">
        <f>B11*C11</f>
        <v>518.68478260868903</v>
      </c>
    </row>
    <row r="12" spans="1:4" x14ac:dyDescent="0.25">
      <c r="A12" s="3" t="s">
        <v>6</v>
      </c>
      <c r="B12" s="6">
        <f>HLOOKUP(B3,'Formatted Data'!A3:E14,3, FALSE)</f>
        <v>7.8299077380951996</v>
      </c>
      <c r="C12">
        <f t="shared" ref="C12:C13" si="0">$B$4</f>
        <v>17</v>
      </c>
      <c r="D12" s="8">
        <f t="shared" ref="D12:D13" si="1">B12*C12</f>
        <v>133.10843154761838</v>
      </c>
    </row>
    <row r="13" spans="1:4" x14ac:dyDescent="0.25">
      <c r="A13" s="3" t="s">
        <v>1</v>
      </c>
      <c r="B13" s="6">
        <f>HLOOKUP(B3,'Formatted Data'!A3:E14,4,FALSE)</f>
        <v>11.416699074074</v>
      </c>
      <c r="C13">
        <f t="shared" si="0"/>
        <v>17</v>
      </c>
      <c r="D13" s="8">
        <f t="shared" si="1"/>
        <v>194.08388425925799</v>
      </c>
    </row>
    <row r="14" spans="1:4" x14ac:dyDescent="0.25">
      <c r="A14" s="3" t="s">
        <v>2</v>
      </c>
      <c r="B14" s="2">
        <f>HLOOKUP(B3,'Formatted Data'!A3:E14,6,FALSE)</f>
        <v>6.4341666666666999</v>
      </c>
      <c r="C14" s="9">
        <f>$B$4</f>
        <v>17</v>
      </c>
      <c r="D14" s="8">
        <f>B14*C14</f>
        <v>109.3808333333339</v>
      </c>
    </row>
    <row r="15" spans="1:4" x14ac:dyDescent="0.25">
      <c r="A15" s="3"/>
      <c r="B15" s="2"/>
    </row>
    <row r="16" spans="1:4" x14ac:dyDescent="0.25">
      <c r="A16" s="3"/>
      <c r="B16" s="2"/>
      <c r="D16" s="8">
        <f>SUM(D11:D14)</f>
        <v>955.25793174889918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5.getJSON">
                <anchor moveWithCells="1" sizeWithCells="1">
                  <from>
                    <xdr:col>2</xdr:col>
                    <xdr:colOff>314325</xdr:colOff>
                    <xdr:row>1</xdr:row>
                    <xdr:rowOff>9525</xdr:rowOff>
                  </from>
                  <to>
                    <xdr:col>3</xdr:col>
                    <xdr:colOff>133350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Expense Type" prompt="How much are you willing to spend?">
          <x14:formula1>
            <xm:f>'Formatted Data'!C3:E3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9" sqref="D19"/>
    </sheetView>
  </sheetViews>
  <sheetFormatPr defaultRowHeight="15" x14ac:dyDescent="0.25"/>
  <cols>
    <col min="1" max="1" width="8.85546875" bestFit="1" customWidth="1"/>
    <col min="2" max="2" width="11.5703125" bestFit="1" customWidth="1"/>
  </cols>
  <sheetData>
    <row r="1" spans="1:4" x14ac:dyDescent="0.25">
      <c r="A1">
        <v>1</v>
      </c>
      <c r="B1">
        <v>30.510869565217</v>
      </c>
      <c r="C1">
        <v>72.364764388232999</v>
      </c>
      <c r="D1">
        <v>155.00680555219</v>
      </c>
    </row>
    <row r="2" spans="1:4" x14ac:dyDescent="0.25">
      <c r="A2">
        <v>3</v>
      </c>
      <c r="B2">
        <v>7.8299077380951996</v>
      </c>
      <c r="C2">
        <v>18.880047174653001</v>
      </c>
      <c r="D2">
        <v>42.341735263453003</v>
      </c>
    </row>
    <row r="3" spans="1:4" x14ac:dyDescent="0.25">
      <c r="A3">
        <v>4</v>
      </c>
      <c r="B3">
        <v>11.416699074074</v>
      </c>
      <c r="C3">
        <v>28.594414342892001</v>
      </c>
      <c r="D3">
        <v>70.567532333166994</v>
      </c>
    </row>
    <row r="4" spans="1:4" x14ac:dyDescent="0.25">
      <c r="A4">
        <v>5</v>
      </c>
      <c r="B4">
        <v>2.7833333333332999</v>
      </c>
      <c r="C4">
        <v>6.6567666875617997</v>
      </c>
      <c r="D4">
        <v>14.598923982655</v>
      </c>
    </row>
    <row r="5" spans="1:4" x14ac:dyDescent="0.25">
      <c r="A5">
        <v>6</v>
      </c>
      <c r="B5">
        <v>6.4341666666666999</v>
      </c>
      <c r="C5">
        <v>19.495964997224998</v>
      </c>
      <c r="D5">
        <v>67.782995691295</v>
      </c>
    </row>
    <row r="6" spans="1:4" x14ac:dyDescent="0.25">
      <c r="A6">
        <v>7</v>
      </c>
      <c r="B6">
        <v>4.1982777777778004</v>
      </c>
      <c r="C6">
        <v>10.612304523292</v>
      </c>
      <c r="D6">
        <v>26.755618431085001</v>
      </c>
    </row>
    <row r="7" spans="1:4" x14ac:dyDescent="0.25">
      <c r="A7">
        <v>8</v>
      </c>
      <c r="B7">
        <v>2.5</v>
      </c>
      <c r="C7">
        <v>2.5</v>
      </c>
      <c r="D7">
        <v>2.5</v>
      </c>
    </row>
    <row r="8" spans="1:4" x14ac:dyDescent="0.25">
      <c r="A8">
        <v>9</v>
      </c>
      <c r="B8">
        <v>48.142249999999997</v>
      </c>
      <c r="C8">
        <v>149.9578636908</v>
      </c>
      <c r="D8">
        <v>541.00665629520995</v>
      </c>
    </row>
    <row r="9" spans="1:4" x14ac:dyDescent="0.25">
      <c r="A9">
        <v>11</v>
      </c>
      <c r="B9">
        <v>0</v>
      </c>
      <c r="C9">
        <v>0</v>
      </c>
      <c r="D9">
        <v>0</v>
      </c>
    </row>
    <row r="10" spans="1:4" x14ac:dyDescent="0.25">
      <c r="A10">
        <v>12</v>
      </c>
      <c r="B10">
        <v>4.7102272727273</v>
      </c>
      <c r="C10">
        <v>11.123568053832001</v>
      </c>
      <c r="D10">
        <v>23.531966472010001</v>
      </c>
    </row>
    <row r="11" spans="1:4" x14ac:dyDescent="0.25">
      <c r="A11">
        <v>13</v>
      </c>
      <c r="B11">
        <v>1.125</v>
      </c>
      <c r="C11">
        <v>2.5125000000000002</v>
      </c>
      <c r="D11">
        <v>4.4249999999999998</v>
      </c>
    </row>
    <row r="12" spans="1:4" x14ac:dyDescent="0.25">
      <c r="A12">
        <v>0</v>
      </c>
      <c r="B12">
        <v>55.411122508338998</v>
      </c>
      <c r="C12">
        <v>137.4269966244</v>
      </c>
      <c r="D12">
        <v>333.08304405208003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2"/>
  <sheetViews>
    <sheetView workbookViewId="0">
      <selection activeCell="E3" sqref="E3"/>
    </sheetView>
  </sheetViews>
  <sheetFormatPr defaultRowHeight="15" x14ac:dyDescent="0.25"/>
  <cols>
    <col min="1" max="1" width="20.7109375" customWidth="1"/>
    <col min="2" max="2" width="16" customWidth="1"/>
    <col min="3" max="7" width="20.7109375" customWidth="1"/>
  </cols>
  <sheetData>
    <row r="1" spans="1:8" x14ac:dyDescent="0.25">
      <c r="A1" t="s">
        <v>28</v>
      </c>
      <c r="B1" t="str">
        <f>IF(City&lt;&gt;"",City,"")</f>
        <v>Portland</v>
      </c>
    </row>
    <row r="3" spans="1:8" x14ac:dyDescent="0.25">
      <c r="A3" t="s">
        <v>15</v>
      </c>
      <c r="B3" t="s">
        <v>31</v>
      </c>
      <c r="C3" t="s">
        <v>38</v>
      </c>
      <c r="D3" t="s">
        <v>39</v>
      </c>
      <c r="E3" t="s">
        <v>40</v>
      </c>
    </row>
    <row r="4" spans="1:8" x14ac:dyDescent="0.25">
      <c r="A4" t="s">
        <v>0</v>
      </c>
      <c r="B4">
        <v>1</v>
      </c>
      <c r="C4" s="2">
        <f>'Raw Data'!B1</f>
        <v>30.510869565217</v>
      </c>
      <c r="D4" s="2">
        <f>'Raw Data'!C1</f>
        <v>72.364764388232999</v>
      </c>
      <c r="E4" s="2">
        <f>'Raw Data'!D1</f>
        <v>155.00680555219</v>
      </c>
    </row>
    <row r="5" spans="1:8" x14ac:dyDescent="0.25">
      <c r="A5" t="s">
        <v>6</v>
      </c>
      <c r="B5">
        <v>3</v>
      </c>
      <c r="C5" s="2">
        <f>'Raw Data'!B2</f>
        <v>7.8299077380951996</v>
      </c>
      <c r="D5" s="2">
        <f>'Raw Data'!C2</f>
        <v>18.880047174653001</v>
      </c>
      <c r="E5" s="2">
        <f>'Raw Data'!D2</f>
        <v>42.341735263453003</v>
      </c>
    </row>
    <row r="6" spans="1:8" x14ac:dyDescent="0.25">
      <c r="A6" t="s">
        <v>1</v>
      </c>
      <c r="B6">
        <v>4</v>
      </c>
      <c r="C6" s="2">
        <f>'Raw Data'!B3</f>
        <v>11.416699074074</v>
      </c>
      <c r="D6" s="2">
        <f>'Raw Data'!C3</f>
        <v>28.594414342892001</v>
      </c>
      <c r="E6" s="2">
        <f>'Raw Data'!D3</f>
        <v>70.567532333166994</v>
      </c>
    </row>
    <row r="7" spans="1:8" x14ac:dyDescent="0.25">
      <c r="A7" t="s">
        <v>32</v>
      </c>
      <c r="B7">
        <v>5</v>
      </c>
      <c r="C7" s="2">
        <f>'Raw Data'!B4</f>
        <v>2.7833333333332999</v>
      </c>
      <c r="D7" s="2">
        <f>'Raw Data'!C4</f>
        <v>6.6567666875617997</v>
      </c>
      <c r="E7" s="2">
        <f>'Raw Data'!D4</f>
        <v>14.598923982655</v>
      </c>
    </row>
    <row r="8" spans="1:8" x14ac:dyDescent="0.25">
      <c r="A8" t="s">
        <v>2</v>
      </c>
      <c r="B8">
        <v>6</v>
      </c>
      <c r="C8" s="2">
        <f>'Raw Data'!B5</f>
        <v>6.4341666666666999</v>
      </c>
      <c r="D8" s="2">
        <f>'Raw Data'!C5</f>
        <v>19.495964997224998</v>
      </c>
      <c r="E8" s="2">
        <f>'Raw Data'!D5</f>
        <v>67.782995691295</v>
      </c>
    </row>
    <row r="9" spans="1:8" x14ac:dyDescent="0.25">
      <c r="A9" t="s">
        <v>21</v>
      </c>
      <c r="B9">
        <v>7</v>
      </c>
      <c r="C9" s="2">
        <f>'Raw Data'!B6</f>
        <v>4.1982777777778004</v>
      </c>
      <c r="D9" s="2">
        <f>'Raw Data'!C6</f>
        <v>10.612304523292</v>
      </c>
      <c r="E9" s="2">
        <f>'Raw Data'!D6</f>
        <v>26.755618431085001</v>
      </c>
    </row>
    <row r="10" spans="1:8" x14ac:dyDescent="0.25">
      <c r="A10" t="s">
        <v>33</v>
      </c>
      <c r="B10">
        <v>8</v>
      </c>
      <c r="C10" s="2">
        <f>'Raw Data'!B7</f>
        <v>2.5</v>
      </c>
      <c r="D10" s="2">
        <f>'Raw Data'!C7</f>
        <v>2.5</v>
      </c>
      <c r="E10" s="2">
        <f>'Raw Data'!D7</f>
        <v>2.5</v>
      </c>
    </row>
    <row r="11" spans="1:8" x14ac:dyDescent="0.25">
      <c r="A11" t="s">
        <v>34</v>
      </c>
      <c r="B11">
        <v>9</v>
      </c>
      <c r="C11" s="2">
        <f>'Raw Data'!B8</f>
        <v>48.142249999999997</v>
      </c>
      <c r="D11" s="2">
        <f>'Raw Data'!C8</f>
        <v>149.9578636908</v>
      </c>
      <c r="E11" s="2">
        <f>'Raw Data'!D8</f>
        <v>541.00665629520995</v>
      </c>
      <c r="F11" s="1"/>
      <c r="G11" s="1"/>
      <c r="H11" s="1"/>
    </row>
    <row r="12" spans="1:8" x14ac:dyDescent="0.25">
      <c r="A12" t="s">
        <v>35</v>
      </c>
      <c r="B12">
        <v>11</v>
      </c>
      <c r="C12" s="2">
        <f>'Raw Data'!B9</f>
        <v>0</v>
      </c>
      <c r="D12" s="2">
        <f>'Raw Data'!C9</f>
        <v>0</v>
      </c>
      <c r="E12" s="2">
        <f>'Raw Data'!D9</f>
        <v>0</v>
      </c>
      <c r="F12" s="2"/>
      <c r="G12" s="2"/>
    </row>
    <row r="13" spans="1:8" x14ac:dyDescent="0.25">
      <c r="A13" t="s">
        <v>36</v>
      </c>
      <c r="B13">
        <v>12</v>
      </c>
      <c r="C13" s="2">
        <f>'Raw Data'!B10</f>
        <v>4.7102272727273</v>
      </c>
      <c r="D13" s="2">
        <f>'Raw Data'!C10</f>
        <v>11.123568053832001</v>
      </c>
      <c r="E13" s="2">
        <f>'Raw Data'!D10</f>
        <v>23.531966472010001</v>
      </c>
      <c r="F13" s="2"/>
      <c r="G13" s="2"/>
    </row>
    <row r="14" spans="1:8" x14ac:dyDescent="0.25">
      <c r="A14" t="s">
        <v>37</v>
      </c>
      <c r="B14">
        <v>13</v>
      </c>
      <c r="C14" s="2">
        <f>'Raw Data'!B11</f>
        <v>1.125</v>
      </c>
      <c r="D14" s="2">
        <f>'Raw Data'!C11</f>
        <v>2.5125000000000002</v>
      </c>
      <c r="E14" s="2">
        <f>'Raw Data'!D11</f>
        <v>4.4249999999999998</v>
      </c>
      <c r="F14" s="2"/>
      <c r="G14" s="2"/>
    </row>
    <row r="15" spans="1:8" x14ac:dyDescent="0.25">
      <c r="F15" s="2"/>
      <c r="G15" s="2"/>
    </row>
    <row r="16" spans="1:8" x14ac:dyDescent="0.25">
      <c r="A16" s="1"/>
      <c r="B16" s="2"/>
      <c r="C16" s="2"/>
      <c r="D16" s="2"/>
      <c r="E16" s="2"/>
      <c r="F16" s="2"/>
      <c r="G16" s="2"/>
    </row>
    <row r="17" spans="1:4" x14ac:dyDescent="0.25">
      <c r="A17" s="2"/>
      <c r="B17" s="2"/>
      <c r="C17" s="2"/>
      <c r="D17" s="2"/>
    </row>
    <row r="18" spans="1:4" x14ac:dyDescent="0.25">
      <c r="A18" s="2"/>
      <c r="B18" s="2"/>
      <c r="C18" s="2"/>
      <c r="D18" s="2"/>
    </row>
    <row r="22" spans="1:4" x14ac:dyDescent="0.25">
      <c r="A22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tabSelected="1" workbookViewId="0">
      <selection activeCell="B1" sqref="B1"/>
    </sheetView>
  </sheetViews>
  <sheetFormatPr defaultRowHeight="15" x14ac:dyDescent="0.25"/>
  <sheetData>
    <row r="1" spans="1:2" x14ac:dyDescent="0.25">
      <c r="A1" t="s">
        <v>7</v>
      </c>
      <c r="B1" s="4" t="s">
        <v>123</v>
      </c>
    </row>
    <row r="2" spans="1:2" x14ac:dyDescent="0.25">
      <c r="A2" t="s">
        <v>8</v>
      </c>
    </row>
  </sheetData>
  <hyperlinks>
    <hyperlink ref="B1" r:id="rId1" display="alan.chen3@baruchmail.cuny.edu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1"/>
  <sheetViews>
    <sheetView topLeftCell="A4" workbookViewId="0">
      <selection activeCell="B11" sqref="B11"/>
    </sheetView>
  </sheetViews>
  <sheetFormatPr defaultRowHeight="15" x14ac:dyDescent="0.25"/>
  <cols>
    <col min="3" max="3" width="22.28515625" bestFit="1" customWidth="1"/>
    <col min="4" max="4" width="90.85546875" bestFit="1" customWidth="1"/>
  </cols>
  <sheetData>
    <row r="1" spans="1:4" x14ac:dyDescent="0.25">
      <c r="A1" s="1" t="s">
        <v>10</v>
      </c>
    </row>
    <row r="2" spans="1:4" x14ac:dyDescent="0.25">
      <c r="A2" t="s">
        <v>9</v>
      </c>
    </row>
    <row r="3" spans="1:4" x14ac:dyDescent="0.25">
      <c r="B3" s="5" t="s">
        <v>27</v>
      </c>
    </row>
    <row r="4" spans="1:4" x14ac:dyDescent="0.25">
      <c r="A4" t="s">
        <v>11</v>
      </c>
    </row>
    <row r="5" spans="1:4" x14ac:dyDescent="0.25">
      <c r="B5" s="4" t="s">
        <v>12</v>
      </c>
    </row>
    <row r="8" spans="1:4" x14ac:dyDescent="0.25">
      <c r="A8" t="s">
        <v>23</v>
      </c>
    </row>
    <row r="9" spans="1:4" x14ac:dyDescent="0.25">
      <c r="B9" s="4" t="s">
        <v>13</v>
      </c>
    </row>
    <row r="10" spans="1:4" x14ac:dyDescent="0.25">
      <c r="B10" t="s">
        <v>14</v>
      </c>
      <c r="C10" t="s">
        <v>15</v>
      </c>
      <c r="D10" t="s">
        <v>16</v>
      </c>
    </row>
    <row r="11" spans="1:4" x14ac:dyDescent="0.25">
      <c r="B11">
        <v>1</v>
      </c>
      <c r="C11" t="s">
        <v>0</v>
      </c>
      <c r="D11" t="s">
        <v>17</v>
      </c>
    </row>
    <row r="12" spans="1:4" x14ac:dyDescent="0.25">
      <c r="B12">
        <v>3</v>
      </c>
      <c r="C12" t="s">
        <v>6</v>
      </c>
      <c r="D12" t="s">
        <v>18</v>
      </c>
    </row>
    <row r="13" spans="1:4" x14ac:dyDescent="0.25">
      <c r="B13">
        <v>4</v>
      </c>
      <c r="C13" t="s">
        <v>1</v>
      </c>
      <c r="D13" t="s">
        <v>19</v>
      </c>
    </row>
    <row r="14" spans="1:4" x14ac:dyDescent="0.25">
      <c r="B14">
        <v>6</v>
      </c>
      <c r="C14" t="s">
        <v>2</v>
      </c>
      <c r="D14" t="s">
        <v>20</v>
      </c>
    </row>
    <row r="15" spans="1:4" x14ac:dyDescent="0.25">
      <c r="B15">
        <v>7</v>
      </c>
      <c r="C15" t="s">
        <v>21</v>
      </c>
      <c r="D15" t="s">
        <v>22</v>
      </c>
    </row>
    <row r="17" spans="1:3" x14ac:dyDescent="0.25">
      <c r="A17" t="s">
        <v>25</v>
      </c>
    </row>
    <row r="18" spans="1:3" x14ac:dyDescent="0.25">
      <c r="B18" t="s">
        <v>24</v>
      </c>
      <c r="C18" t="s">
        <v>26</v>
      </c>
    </row>
    <row r="20" spans="1:3" x14ac:dyDescent="0.25">
      <c r="A20" t="s">
        <v>29</v>
      </c>
    </row>
    <row r="21" spans="1:3" x14ac:dyDescent="0.25">
      <c r="B21" t="s">
        <v>30</v>
      </c>
    </row>
  </sheetData>
  <hyperlinks>
    <hyperlink ref="B3" r:id="rId1"/>
    <hyperlink ref="B5" r:id="rId2"/>
    <hyperlink ref="B9" r:id="rId3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54"/>
  <sheetViews>
    <sheetView workbookViewId="0">
      <selection activeCell="C1" sqref="C1"/>
    </sheetView>
  </sheetViews>
  <sheetFormatPr defaultRowHeight="15" x14ac:dyDescent="0.25"/>
  <cols>
    <col min="1" max="1" width="21" customWidth="1"/>
    <col min="2" max="2" width="86.28515625" bestFit="1" customWidth="1"/>
    <col min="3" max="3" width="48.7109375" bestFit="1" customWidth="1"/>
  </cols>
  <sheetData>
    <row r="1" spans="1:3" x14ac:dyDescent="0.25">
      <c r="A1" s="1" t="s">
        <v>50</v>
      </c>
      <c r="B1" s="1" t="s">
        <v>51</v>
      </c>
      <c r="C1" s="1" t="s">
        <v>52</v>
      </c>
    </row>
    <row r="2" spans="1:3" x14ac:dyDescent="0.25">
      <c r="A2">
        <v>1</v>
      </c>
      <c r="B2" t="s">
        <v>53</v>
      </c>
      <c r="C2" t="s">
        <v>144</v>
      </c>
    </row>
    <row r="3" spans="1:3" x14ac:dyDescent="0.25">
      <c r="A3">
        <v>2</v>
      </c>
      <c r="B3" t="s">
        <v>54</v>
      </c>
      <c r="C3" t="s">
        <v>108</v>
      </c>
    </row>
    <row r="4" spans="1:3" x14ac:dyDescent="0.25">
      <c r="A4">
        <v>3</v>
      </c>
      <c r="B4" t="s">
        <v>55</v>
      </c>
      <c r="C4" t="s">
        <v>109</v>
      </c>
    </row>
    <row r="5" spans="1:3" x14ac:dyDescent="0.25">
      <c r="A5">
        <v>4</v>
      </c>
      <c r="B5" t="s">
        <v>56</v>
      </c>
      <c r="C5" t="s">
        <v>110</v>
      </c>
    </row>
    <row r="6" spans="1:3" x14ac:dyDescent="0.25">
      <c r="A6">
        <v>5</v>
      </c>
      <c r="B6" t="s">
        <v>57</v>
      </c>
      <c r="C6" t="s">
        <v>111</v>
      </c>
    </row>
    <row r="7" spans="1:3" x14ac:dyDescent="0.25">
      <c r="A7">
        <v>6</v>
      </c>
      <c r="B7" t="s">
        <v>58</v>
      </c>
      <c r="C7" t="s">
        <v>112</v>
      </c>
    </row>
    <row r="8" spans="1:3" x14ac:dyDescent="0.25">
      <c r="A8">
        <v>7</v>
      </c>
      <c r="B8" t="s">
        <v>59</v>
      </c>
      <c r="C8" s="10" t="s">
        <v>105</v>
      </c>
    </row>
    <row r="9" spans="1:3" x14ac:dyDescent="0.25">
      <c r="A9">
        <v>8</v>
      </c>
      <c r="B9" t="s">
        <v>60</v>
      </c>
      <c r="C9" t="s">
        <v>106</v>
      </c>
    </row>
    <row r="10" spans="1:3" x14ac:dyDescent="0.25">
      <c r="A10">
        <v>9</v>
      </c>
      <c r="B10" t="s">
        <v>61</v>
      </c>
      <c r="C10" t="s">
        <v>107</v>
      </c>
    </row>
    <row r="11" spans="1:3" x14ac:dyDescent="0.25">
      <c r="A11">
        <v>10</v>
      </c>
      <c r="B11" t="s">
        <v>62</v>
      </c>
      <c r="C11" t="s">
        <v>113</v>
      </c>
    </row>
    <row r="12" spans="1:3" x14ac:dyDescent="0.25">
      <c r="A12">
        <v>11</v>
      </c>
      <c r="B12" t="s">
        <v>63</v>
      </c>
      <c r="C12" t="s">
        <v>114</v>
      </c>
    </row>
    <row r="13" spans="1:3" x14ac:dyDescent="0.25">
      <c r="A13">
        <v>12</v>
      </c>
      <c r="B13" t="s">
        <v>64</v>
      </c>
      <c r="C13" t="s">
        <v>115</v>
      </c>
    </row>
    <row r="14" spans="1:3" x14ac:dyDescent="0.25">
      <c r="A14">
        <v>13</v>
      </c>
      <c r="B14" t="s">
        <v>65</v>
      </c>
    </row>
    <row r="15" spans="1:3" x14ac:dyDescent="0.25">
      <c r="A15">
        <v>14</v>
      </c>
      <c r="B15" t="s">
        <v>66</v>
      </c>
      <c r="C15" t="s">
        <v>116</v>
      </c>
    </row>
    <row r="16" spans="1:3" x14ac:dyDescent="0.25">
      <c r="A16">
        <v>15</v>
      </c>
      <c r="B16" t="s">
        <v>67</v>
      </c>
      <c r="C16" t="s">
        <v>117</v>
      </c>
    </row>
    <row r="17" spans="1:3" x14ac:dyDescent="0.25">
      <c r="A17">
        <v>16</v>
      </c>
      <c r="B17" t="s">
        <v>68</v>
      </c>
      <c r="C17" t="s">
        <v>118</v>
      </c>
    </row>
    <row r="18" spans="1:3" x14ac:dyDescent="0.25">
      <c r="A18">
        <v>17</v>
      </c>
      <c r="B18" t="s">
        <v>69</v>
      </c>
      <c r="C18" t="s">
        <v>119</v>
      </c>
    </row>
    <row r="19" spans="1:3" x14ac:dyDescent="0.25">
      <c r="A19">
        <v>18</v>
      </c>
      <c r="B19" t="s">
        <v>70</v>
      </c>
      <c r="C19" t="s">
        <v>121</v>
      </c>
    </row>
    <row r="20" spans="1:3" x14ac:dyDescent="0.25">
      <c r="A20">
        <v>19</v>
      </c>
      <c r="B20" t="s">
        <v>71</v>
      </c>
      <c r="C20" t="s">
        <v>122</v>
      </c>
    </row>
    <row r="21" spans="1:3" x14ac:dyDescent="0.25">
      <c r="A21">
        <v>20</v>
      </c>
      <c r="B21" t="s">
        <v>72</v>
      </c>
      <c r="C21" t="s">
        <v>124</v>
      </c>
    </row>
    <row r="22" spans="1:3" x14ac:dyDescent="0.25">
      <c r="A22">
        <v>21</v>
      </c>
      <c r="B22" t="s">
        <v>73</v>
      </c>
      <c r="C22" t="s">
        <v>145</v>
      </c>
    </row>
    <row r="23" spans="1:3" x14ac:dyDescent="0.25">
      <c r="A23">
        <v>22</v>
      </c>
      <c r="B23" t="s">
        <v>74</v>
      </c>
      <c r="C23" t="s">
        <v>125</v>
      </c>
    </row>
    <row r="24" spans="1:3" x14ac:dyDescent="0.25">
      <c r="A24">
        <v>23</v>
      </c>
      <c r="B24" t="s">
        <v>75</v>
      </c>
      <c r="C24" t="s">
        <v>126</v>
      </c>
    </row>
    <row r="25" spans="1:3" x14ac:dyDescent="0.25">
      <c r="A25">
        <v>24</v>
      </c>
      <c r="B25" t="s">
        <v>76</v>
      </c>
      <c r="C25" t="s">
        <v>128</v>
      </c>
    </row>
    <row r="26" spans="1:3" x14ac:dyDescent="0.25">
      <c r="A26">
        <v>25</v>
      </c>
      <c r="B26" t="s">
        <v>77</v>
      </c>
      <c r="C26" t="s">
        <v>129</v>
      </c>
    </row>
    <row r="27" spans="1:3" x14ac:dyDescent="0.25">
      <c r="A27">
        <v>26</v>
      </c>
      <c r="B27" t="s">
        <v>78</v>
      </c>
      <c r="C27" t="s">
        <v>114</v>
      </c>
    </row>
    <row r="28" spans="1:3" x14ac:dyDescent="0.25">
      <c r="A28">
        <v>27</v>
      </c>
      <c r="B28" t="s">
        <v>79</v>
      </c>
      <c r="C28" t="s">
        <v>115</v>
      </c>
    </row>
    <row r="29" spans="1:3" x14ac:dyDescent="0.25">
      <c r="A29">
        <v>28</v>
      </c>
      <c r="B29" t="s">
        <v>80</v>
      </c>
    </row>
    <row r="30" spans="1:3" x14ac:dyDescent="0.25">
      <c r="A30">
        <v>29</v>
      </c>
      <c r="B30" t="s">
        <v>81</v>
      </c>
      <c r="C30" t="s">
        <v>116</v>
      </c>
    </row>
    <row r="31" spans="1:3" x14ac:dyDescent="0.25">
      <c r="A31">
        <v>30</v>
      </c>
      <c r="B31" t="s">
        <v>120</v>
      </c>
      <c r="C31" t="s">
        <v>117</v>
      </c>
    </row>
    <row r="32" spans="1:3" x14ac:dyDescent="0.25">
      <c r="A32">
        <v>31</v>
      </c>
      <c r="B32" t="s">
        <v>82</v>
      </c>
      <c r="C32" t="s">
        <v>118</v>
      </c>
    </row>
    <row r="33" spans="1:3" x14ac:dyDescent="0.25">
      <c r="A33">
        <v>32</v>
      </c>
      <c r="B33" t="s">
        <v>83</v>
      </c>
      <c r="C33" t="s">
        <v>127</v>
      </c>
    </row>
    <row r="34" spans="1:3" x14ac:dyDescent="0.25">
      <c r="A34">
        <v>33</v>
      </c>
      <c r="B34" t="s">
        <v>84</v>
      </c>
      <c r="C34" t="s">
        <v>121</v>
      </c>
    </row>
    <row r="35" spans="1:3" x14ac:dyDescent="0.25">
      <c r="A35">
        <v>34</v>
      </c>
      <c r="B35" t="s">
        <v>85</v>
      </c>
      <c r="C35" t="s">
        <v>130</v>
      </c>
    </row>
    <row r="36" spans="1:3" x14ac:dyDescent="0.25">
      <c r="A36">
        <v>35</v>
      </c>
      <c r="B36" t="s">
        <v>86</v>
      </c>
      <c r="C36" t="s">
        <v>131</v>
      </c>
    </row>
    <row r="37" spans="1:3" x14ac:dyDescent="0.25">
      <c r="A37">
        <v>36</v>
      </c>
      <c r="B37" t="s">
        <v>87</v>
      </c>
      <c r="C37" t="s">
        <v>132</v>
      </c>
    </row>
    <row r="38" spans="1:3" x14ac:dyDescent="0.25">
      <c r="A38">
        <v>37</v>
      </c>
      <c r="B38" t="s">
        <v>88</v>
      </c>
      <c r="C38" t="s">
        <v>133</v>
      </c>
    </row>
    <row r="39" spans="1:3" x14ac:dyDescent="0.25">
      <c r="A39">
        <v>38</v>
      </c>
      <c r="B39" t="s">
        <v>89</v>
      </c>
      <c r="C39" t="s">
        <v>139</v>
      </c>
    </row>
    <row r="40" spans="1:3" x14ac:dyDescent="0.25">
      <c r="A40">
        <v>39</v>
      </c>
      <c r="B40" t="s">
        <v>90</v>
      </c>
      <c r="C40" t="s">
        <v>134</v>
      </c>
    </row>
    <row r="41" spans="1:3" x14ac:dyDescent="0.25">
      <c r="A41">
        <v>40</v>
      </c>
      <c r="B41" t="s">
        <v>91</v>
      </c>
      <c r="C41" t="s">
        <v>135</v>
      </c>
    </row>
    <row r="42" spans="1:3" x14ac:dyDescent="0.25">
      <c r="A42">
        <v>41</v>
      </c>
      <c r="B42" t="s">
        <v>92</v>
      </c>
      <c r="C42" t="s">
        <v>136</v>
      </c>
    </row>
    <row r="43" spans="1:3" x14ac:dyDescent="0.25">
      <c r="A43">
        <v>42</v>
      </c>
      <c r="B43" t="s">
        <v>93</v>
      </c>
      <c r="C43" t="s">
        <v>137</v>
      </c>
    </row>
    <row r="44" spans="1:3" x14ac:dyDescent="0.25">
      <c r="A44">
        <v>43</v>
      </c>
      <c r="B44" t="s">
        <v>94</v>
      </c>
      <c r="C44" t="s">
        <v>138</v>
      </c>
    </row>
    <row r="45" spans="1:3" x14ac:dyDescent="0.25">
      <c r="A45">
        <v>44</v>
      </c>
      <c r="B45" t="s">
        <v>95</v>
      </c>
      <c r="C45" t="s">
        <v>141</v>
      </c>
    </row>
    <row r="46" spans="1:3" x14ac:dyDescent="0.25">
      <c r="A46">
        <v>45</v>
      </c>
      <c r="B46" t="s">
        <v>96</v>
      </c>
      <c r="C46" t="s">
        <v>140</v>
      </c>
    </row>
    <row r="47" spans="1:3" x14ac:dyDescent="0.25">
      <c r="A47">
        <v>46</v>
      </c>
      <c r="B47" t="s">
        <v>97</v>
      </c>
      <c r="C47" t="s">
        <v>142</v>
      </c>
    </row>
    <row r="48" spans="1:3" x14ac:dyDescent="0.25">
      <c r="A48">
        <v>47</v>
      </c>
      <c r="B48" t="s">
        <v>98</v>
      </c>
      <c r="C48" t="s">
        <v>151</v>
      </c>
    </row>
    <row r="49" spans="1:3" x14ac:dyDescent="0.25">
      <c r="A49">
        <v>48</v>
      </c>
      <c r="B49" t="s">
        <v>99</v>
      </c>
      <c r="C49" t="s">
        <v>150</v>
      </c>
    </row>
    <row r="50" spans="1:3" x14ac:dyDescent="0.25">
      <c r="A50">
        <v>49</v>
      </c>
      <c r="B50" t="s">
        <v>100</v>
      </c>
      <c r="C50" t="s">
        <v>149</v>
      </c>
    </row>
    <row r="51" spans="1:3" x14ac:dyDescent="0.25">
      <c r="A51">
        <v>50</v>
      </c>
      <c r="B51" t="s">
        <v>101</v>
      </c>
      <c r="C51" t="s">
        <v>148</v>
      </c>
    </row>
    <row r="52" spans="1:3" x14ac:dyDescent="0.25">
      <c r="A52">
        <v>51</v>
      </c>
      <c r="B52" t="s">
        <v>102</v>
      </c>
      <c r="C52" t="s">
        <v>143</v>
      </c>
    </row>
    <row r="53" spans="1:3" x14ac:dyDescent="0.25">
      <c r="A53">
        <v>52</v>
      </c>
      <c r="B53" t="s">
        <v>103</v>
      </c>
      <c r="C53" t="s">
        <v>147</v>
      </c>
    </row>
    <row r="54" spans="1:3" x14ac:dyDescent="0.25">
      <c r="A54">
        <v>53</v>
      </c>
      <c r="B54" t="s">
        <v>104</v>
      </c>
      <c r="C54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Main</vt:lpstr>
      <vt:lpstr>Raw Data</vt:lpstr>
      <vt:lpstr>Formatted Data</vt:lpstr>
      <vt:lpstr>API-KEY</vt:lpstr>
      <vt:lpstr>DOCUMENTATION</vt:lpstr>
      <vt:lpstr>VBA CODE</vt:lpstr>
      <vt:lpstr>Accommodation</vt:lpstr>
      <vt:lpstr>api_key</vt:lpstr>
      <vt:lpstr>City</vt:lpstr>
      <vt:lpstr>Entertainment</vt:lpstr>
      <vt:lpstr>Round_Trip_Flight</vt:lpstr>
      <vt:lpstr>Sourvenirs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2016-12-05T04:23:42Z</dcterms:created>
  <dcterms:modified xsi:type="dcterms:W3CDTF">2016-12-11T17:59:51Z</dcterms:modified>
</cp:coreProperties>
</file>